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euMuon" sheetId="1" state="visible" r:id="rId1"/>
    <sheet xmlns:r="http://schemas.openxmlformats.org/officeDocument/2006/relationships" name="DanhMucSach" sheetId="2" state="visible" r:id="rId2"/>
  </sheets>
  <definedNames>
    <definedName name="_xlnm._FilterDatabase" localSheetId="0" hidden="1">'PhieuMuon'!$A$2:$F$6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ngPhieuMuon" displayName="BangPhieuMuon" ref="A2:F6" headerRowCount="1">
  <autoFilter ref="A2:F6"/>
  <tableColumns count="6">
    <tableColumn id="1" name="MSSV"/>
    <tableColumn id="2" name="Họ Tên"/>
    <tableColumn id="3" name="Mã Sách"/>
    <tableColumn id="4" name="Ngày Mượn"/>
    <tableColumn id="5" name="Tình Trạng"/>
    <tableColumn id="6" name="Tên Sá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nhMucSachTable" displayName="DanhMucSachTable" ref="A1:C4" headerRowCount="1">
  <autoFilter ref="A1:C4"/>
  <tableColumns count="3">
    <tableColumn id="1" name="Mã Sách"/>
    <tableColumn id="2" name="Tên Sách"/>
    <tableColumn id="3" name="Thể Loại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6" customWidth="1" min="4" max="4"/>
    <col width="18" customWidth="1" min="5" max="5"/>
    <col width="30" customWidth="1" min="6" max="6"/>
  </cols>
  <sheetData>
    <row r="1">
      <c r="A1" s="1" t="inlineStr">
        <is>
          <t>DANH SÁCH MƯỢN SÁCH THÁNG 10</t>
        </is>
      </c>
    </row>
    <row r="2">
      <c r="A2" s="2" t="inlineStr">
        <is>
          <t>MSSV</t>
        </is>
      </c>
      <c r="B2" s="2" t="inlineStr">
        <is>
          <t>Họ Tên</t>
        </is>
      </c>
      <c r="C2" s="2" t="inlineStr">
        <is>
          <t>Mã Sách</t>
        </is>
      </c>
      <c r="D2" s="2" t="inlineStr">
        <is>
          <t>Ngày Mượn</t>
        </is>
      </c>
      <c r="E2" s="2" t="inlineStr">
        <is>
          <t>Tình Trạng</t>
        </is>
      </c>
      <c r="F2" s="2" t="inlineStr">
        <is>
          <t>Tên Sách</t>
        </is>
      </c>
    </row>
    <row r="3">
      <c r="A3" s="3" t="inlineStr">
        <is>
          <t>SV001</t>
        </is>
      </c>
      <c r="B3" s="3" t="inlineStr">
        <is>
          <t>Nguyễn Văn An</t>
        </is>
      </c>
      <c r="C3" s="3" t="inlineStr">
        <is>
          <t>S001</t>
        </is>
      </c>
      <c r="D3" s="4" t="n">
        <v>46296</v>
      </c>
      <c r="E3" s="3" t="inlineStr">
        <is>
          <t>Đang mượn</t>
        </is>
      </c>
      <c r="F3" s="3">
        <f>IFERROR(VLOOKUP(C3,DanhMucSach!$A$2:$C$4,2,FALSE),"Không tìm thấy sách")</f>
        <v/>
      </c>
    </row>
    <row r="4">
      <c r="A4" s="3" t="inlineStr">
        <is>
          <t>SV002</t>
        </is>
      </c>
      <c r="B4" s="3" t="inlineStr">
        <is>
          <t>Trần Thị Bình</t>
        </is>
      </c>
      <c r="C4" s="3" t="inlineStr">
        <is>
          <t>S002</t>
        </is>
      </c>
      <c r="D4" s="4" t="n">
        <v>46298</v>
      </c>
      <c r="E4" s="3" t="inlineStr">
        <is>
          <t>Quá hạn</t>
        </is>
      </c>
      <c r="F4" s="3">
        <f>IFERROR(VLOOKUP(C4,DanhMucSach!$A$2:$C$4,2,FALSE),"Không tìm thấy sách")</f>
        <v/>
      </c>
    </row>
    <row r="5">
      <c r="A5" s="3" t="inlineStr">
        <is>
          <t>SV003</t>
        </is>
      </c>
      <c r="B5" s="3" t="inlineStr">
        <is>
          <t>Lê Văn Cường</t>
        </is>
      </c>
      <c r="C5" s="3" t="inlineStr">
        <is>
          <t>S003</t>
        </is>
      </c>
      <c r="D5" s="4" t="n">
        <v>46305</v>
      </c>
      <c r="E5" s="3" t="inlineStr">
        <is>
          <t>Đã trả</t>
        </is>
      </c>
      <c r="F5" s="3">
        <f>IFERROR(VLOOKUP(C5,DanhMucSach!$A$2:$C$4,2,FALSE),"Không tìm thấy sách")</f>
        <v/>
      </c>
    </row>
    <row r="6">
      <c r="A6" s="3" t="inlineStr">
        <is>
          <t>SV004</t>
        </is>
      </c>
      <c r="B6" s="3" t="inlineStr">
        <is>
          <t>Phạm Thu Hà</t>
        </is>
      </c>
      <c r="C6" s="3" t="inlineStr">
        <is>
          <t>S099</t>
        </is>
      </c>
      <c r="D6" s="4" t="n">
        <v>46307</v>
      </c>
      <c r="E6" s="3" t="inlineStr">
        <is>
          <t>Đang mượn</t>
        </is>
      </c>
      <c r="F6" s="3">
        <f>IFERROR(VLOOKUP(C6,DanhMucSach!$A$2:$C$4,2,FALSE),"Không tìm thấy sách")</f>
        <v/>
      </c>
    </row>
    <row r="8">
      <c r="A8" s="5" t="inlineStr">
        <is>
          <t>Tổng số phiếu:</t>
        </is>
      </c>
      <c r="B8">
        <f>COUNTA(A3:A6)</f>
        <v/>
      </c>
    </row>
    <row r="9">
      <c r="A9" s="5" t="inlineStr">
        <is>
          <t>Ghi chú:</t>
        </is>
      </c>
      <c r="B9" t="inlineStr">
        <is>
          <t>Mã S099 chưa có trong danh mục sách.</t>
        </is>
      </c>
    </row>
  </sheetData>
  <autoFilter ref="A2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</cols>
  <sheetData>
    <row r="1">
      <c r="A1" s="2" t="inlineStr">
        <is>
          <t>Mã Sách</t>
        </is>
      </c>
      <c r="B1" s="2" t="inlineStr">
        <is>
          <t>Tên Sách</t>
        </is>
      </c>
      <c r="C1" s="2" t="inlineStr">
        <is>
          <t>Thể Loại</t>
        </is>
      </c>
    </row>
    <row r="2">
      <c r="A2" t="inlineStr">
        <is>
          <t>S001</t>
        </is>
      </c>
      <c r="B2" t="inlineStr">
        <is>
          <t>Lập Trình C Căn Bản</t>
        </is>
      </c>
      <c r="C2" t="inlineStr">
        <is>
          <t>Công nghệ thông tin</t>
        </is>
      </c>
    </row>
    <row r="3">
      <c r="A3" t="inlineStr">
        <is>
          <t>S002</t>
        </is>
      </c>
      <c r="B3" t="inlineStr">
        <is>
          <t>Giải Tích 1</t>
        </is>
      </c>
      <c r="C3" t="inlineStr">
        <is>
          <t>Toán học</t>
        </is>
      </c>
    </row>
    <row r="4">
      <c r="A4" t="inlineStr">
        <is>
          <t>S003</t>
        </is>
      </c>
      <c r="B4" t="inlineStr">
        <is>
          <t>Kỹ Năng Mềm</t>
        </is>
      </c>
      <c r="C4" t="inlineStr">
        <is>
          <t>Kỹ năng sống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2026-10-20T12:18:40Z</dcterms:created>
  <dcterms:modified xmlns:dcterms="http://purl.org/dc/terms/" xmlns:xsi="http://www.w3.org/2001/XMLSchema-instance" xsi:type="dcterms:W3CDTF">2026-10-20T12:18:40Z</dcterms:modified>
</cp:coreProperties>
</file>